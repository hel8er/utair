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lxhe\Documents\"/>
    </mc:Choice>
  </mc:AlternateContent>
  <xr:revisionPtr revIDLastSave="0" documentId="8_{2ACA38FF-C8C2-4911-B3B8-B737521727F3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 a="1"/>
  <c r="H5" i="1" a="1"/>
  <c r="H4" i="1" a="1"/>
  <c r="H2" i="1" a="1"/>
  <c r="G2" i="1" a="1"/>
  <c r="G3" i="1" a="1"/>
  <c r="G5" i="1" a="1"/>
  <c r="G4" i="1" a="1"/>
  <c r="F3" i="1" a="1"/>
  <c r="F4" i="1" a="1"/>
  <c r="F5" i="1" a="1"/>
  <c r="F2" i="1" a="1"/>
  <c r="I2" i="1" a="1"/>
  <c r="H4" i="1" l="1"/>
  <c r="H5" i="1"/>
  <c r="H3" i="1"/>
  <c r="H2" i="1"/>
  <c r="G2" i="1"/>
  <c r="G4" i="1"/>
  <c r="G5" i="1"/>
  <c r="G3" i="1"/>
  <c r="F5" i="1"/>
  <c r="F4" i="1"/>
  <c r="F3" i="1"/>
  <c r="F2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<sst xmlns="http://schemas.openxmlformats.org/spreadsheetml/2006/main" count="22" uniqueCount="21">
  <si>
    <t>https://www.utair.ru/booking/search/!/NOZ/OMS/29.01.2020+02.02.2020/2-2-0/UT-190+UT-189/WLTRT+WLTRT?sid=Aviasales_UT&amp;price=13708.00&amp;SIGSId=20012402231989545277&amp;data=crgaixt1ibfk&amp;utm_source=aviasales&amp;utm_medium=aviasales</t>
  </si>
  <si>
    <t>NOZ/OMS</t>
  </si>
  <si>
    <t>29.01.2020+02.02.2020</t>
  </si>
  <si>
    <t>UT-190+UT-189</t>
  </si>
  <si>
    <t>https://www.utair.ru/booking/search/!/KJA/KGD/27.04.2020+03.05.2020/1-0-0/UT-572.UT-329+UT-390.UT-571/LLTRT.PLTRT+KLTRT.LLTRT?sid=Aviasales_UT&amp;price=15340.00&amp;SIGSId=20012403122129624913&amp;data=crgikxeoli68&amp;utm_source=aviasales&amp;utm_medium=aviasales</t>
  </si>
  <si>
    <t>KJA/KGD</t>
  </si>
  <si>
    <t>27.04.2020+03.05.2020</t>
  </si>
  <si>
    <t>UT-572.UT-329+UT-390.UT-571</t>
  </si>
  <si>
    <t>https://www.utair.ru/booking/search/!/NOZ/OMS/26.02.2020/2-0-0/UT-190/WLTOW?sid=Aviasales_UT&amp;price=4314.00&amp;SIGSId=2001240347698169099&amp;data=crgomzc5bndt&amp;utm_source=aviasales&amp;utm_medium=aviasales</t>
  </si>
  <si>
    <t>26.02.2020</t>
  </si>
  <si>
    <t>UT-190</t>
  </si>
  <si>
    <t>Диплинк</t>
  </si>
  <si>
    <t>Пара городов</t>
  </si>
  <si>
    <t>Дата(ы)</t>
  </si>
  <si>
    <t>Рейс(ы)</t>
  </si>
  <si>
    <t>https://www.utair.ru/booking/search/!/SCW/MSQ/17.04.2020/1-0-0/UT-380.UT-835/RLTTR.RLTTR?sid=Aviasales_UT&amp;price=4545.00&amp;SIGSId=2001230514203218094&amp;data=cr9zexy28728&amp;utm_source=aviasales&amp;utm_medium=aviasales</t>
  </si>
  <si>
    <t>SCW/MSQ</t>
  </si>
  <si>
    <t>UT-380.UT-835</t>
  </si>
  <si>
    <t>[ABCDEFGHIJKLMNOPQRSTUVWXYZ]{3}\/[ABCDEFGHJIKLMNOPQRSTUVWXYZ]{3}</t>
  </si>
  <si>
    <t>\d{2}\.\d{2}\.\d{4}\+\d{2}\.\d{2}\.\d{4}|\d{2}\.\d{2}\.\d{4}</t>
  </si>
  <si>
    <t>\/[UT]{2}-\d{3}.*\/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</si>
</sst>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Border="1" applyAlignment="1">
      <alignment wrapText="1"/>
    </xf>
    <xf numFmtId="14" fontId="2" fillId="0" borderId="0" xfId="0" applyNumberFormat="1" applyFont="1" applyBorder="1" applyAlignment="1">
      <alignment horizontal="left" wrapText="1"/>
    </xf>
    <xf numFmtId="0" fontId="0" fillId="0" borderId="0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tair.ru/booking/search/!/NOZ/OMS/29.01.2020+02.02.2020/2-2-0/UT-190+UT-189/WLTRT+WLTRT?sid=Aviasales_UT&amp;price=13708.00&amp;SIGSId=20012402231989545277&amp;data=crgaixt1ibfk&amp;utm_source=aviasales&amp;utm_medium=aviasales" TargetMode="External"/><Relationship Id="rId2" Type="http://schemas.openxmlformats.org/officeDocument/2006/relationships/hyperlink" Target="https://www.utair.ru/booking/search/!/SCW/MSQ/17.04.2020/1-0-0/UT-380.UT-835/RLTTR.RLTTR?sid=Aviasales_UT&amp;price=4545.00&amp;SIGSId=2001230514203218094&amp;data=cr9zexy28728&amp;utm_source=aviasales&amp;utm_medium=aviasales" TargetMode="External"/><Relationship Id="rId1" Type="http://schemas.openxmlformats.org/officeDocument/2006/relationships/hyperlink" Target="https://www.utair.ru/booking/search/!/NOZ/OMS/26.02.2020/2-0-0/UT-190/WLTOW?sid=Aviasales_UT&amp;price=4314.00&amp;SIGSId=2001240347698169099&amp;data=crgomzc5bndt&amp;utm_source=aviasales&amp;utm_medium=aviasales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utair.ru/booking/search/!/KJA/KGD/27.04.2020+03.05.2020/1-0-0/UT-572.UT-329+UT-390.UT-571/LLTRT.PLTRT+KLTRT.LLTRT?sid=Aviasales_UT&amp;price=15340.00&amp;SIGSId=20012403122129624913&amp;data=crgikxeoli68&amp;utm_source=aviasales&amp;utm_medium=aviasal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Q10"/>
  <sheetViews>
    <sheetView tabSelected="1" zoomScale="85" zoomScaleNormal="85" workbookViewId="0">
      <selection activeCell="H8" sqref="H8"/>
    </sheetView>
  </sheetViews>
  <sheetFormatPr defaultRowHeight="15" x14ac:dyDescent="0.25"/>
  <cols>
    <col min="1" max="1" width="53.85546875" customWidth="1"/>
    <col min="2" max="2" width="14.28515625" customWidth="1"/>
    <col min="3" max="3" width="22.140625" customWidth="1"/>
    <col min="4" max="4" width="30.140625" customWidth="1"/>
    <col min="5" max="5" width="6.85546875" customWidth="1"/>
    <col min="6" max="6" width="70.85546875" customWidth="1"/>
    <col min="7" max="7" width="20.85546875" customWidth="1"/>
    <col min="8" max="8" width="29.140625" customWidth="1"/>
  </cols>
  <sheetData>
    <row r="1" spans="1:17" x14ac:dyDescent="0.25">
      <c r="A1" s="1" t="s">
        <v>11</v>
      </c>
      <c r="B1" s="1" t="s">
        <v>12</v>
      </c>
      <c r="C1" s="1" t="s">
        <v>13</v>
      </c>
      <c r="D1" s="1" t="s">
        <v>14</v>
      </c>
      <c r="F1" s="1" t="s">
        <v>18</v>
      </c>
      <c r="G1" s="1" t="s">
        <v>19</v>
      </c>
      <c r="H1" s="1" t="s">
        <v>20</v>
      </c>
    </row>
    <row r="2" spans="1:17" ht="15.75" customHeight="1" x14ac:dyDescent="0.25">
      <c r="A2" t="s">
        <v>8</v>
      </c>
      <c r="B2" t="s">
        <v>1</v>
      </c>
      <c r="C2" t="s">
        <v>9</v>
      </c>
      <c r="D2" t="s">
        <v>10</v>
      </c>
      <c r="F2" t="str" cm="1">
        <f t="array" ref="F2">RegExpExtract(A2, $F$1)</f>
        <v>NOZ/OMS</v>
      </c>
      <c r="G2" t="str" cm="1">
        <f t="array" ref="G2">RegExpExtract(A2, $G$1)</f>
        <v>26.02.2020</v>
      </c>
      <c r="H2" t="str" cm="1">
        <f t="array" ref="H2">SUBSTITUTE(RegExpExtract(A2, $H$1),"/","")</f>
        <v>UT-190</v>
      </c>
      <c r="I2" t="str" cm="1">
        <f t="array" ref="I2">RegExpExtract(D2, I1)</f>
        <v/>
      </c>
    </row>
    <row r="3" spans="1:17" ht="15.75" customHeight="1" x14ac:dyDescent="0.25">
      <c r="A3" t="s">
        <v>15</v>
      </c>
      <c r="B3" s="2" t="s">
        <v>16</v>
      </c>
      <c r="C3" s="3">
        <v>43938</v>
      </c>
      <c r="D3" s="2" t="s">
        <v>17</v>
      </c>
      <c r="E3" s="2"/>
      <c r="F3" t="str" cm="1">
        <f t="array" ref="F3">RegExpExtract(A3, $F$1)</f>
        <v>SCW/MSQ</v>
      </c>
      <c r="G3" t="str" cm="1">
        <f t="array" ref="G3">RegExpExtract(A3, $G$1)</f>
        <v>17.04.2020</v>
      </c>
      <c r="H3" t="str" cm="1">
        <f t="array" ref="H3">SUBSTITUTE(RegExpExtract(A3, $H$1),"/","")</f>
        <v>UT-380.UT-835</v>
      </c>
      <c r="I3" s="2"/>
      <c r="J3" s="2"/>
      <c r="K3" s="2"/>
      <c r="L3" s="2"/>
      <c r="M3" s="2"/>
      <c r="N3" s="2"/>
      <c r="O3" s="4"/>
      <c r="P3" s="4"/>
      <c r="Q3" s="4"/>
    </row>
    <row r="4" spans="1:17" ht="15.75" customHeight="1" x14ac:dyDescent="0.25">
      <c r="A4" t="s">
        <v>0</v>
      </c>
      <c r="B4" s="4" t="s">
        <v>1</v>
      </c>
      <c r="C4" s="4" t="s">
        <v>2</v>
      </c>
      <c r="D4" s="4" t="s">
        <v>3</v>
      </c>
      <c r="E4" s="4"/>
      <c r="F4" t="str" cm="1">
        <f t="array" ref="F4">RegExpExtract(A4, $F$1)</f>
        <v>NOZ/OMS</v>
      </c>
      <c r="G4" t="str" cm="1">
        <f t="array" ref="G4">RegExpExtract(A4, $G$1)</f>
        <v>29.01.2020+02.02.2020</v>
      </c>
      <c r="H4" t="str" cm="1">
        <f t="array" ref="H4">SUBSTITUTE(RegExpExtract(A4, $H$1),"/","")</f>
        <v>UT-190+UT-189</v>
      </c>
      <c r="I4" s="4"/>
      <c r="J4" s="4"/>
      <c r="K4" s="4"/>
      <c r="L4" s="4"/>
      <c r="M4" s="4"/>
      <c r="N4" s="4"/>
      <c r="O4" s="4"/>
      <c r="P4" s="4"/>
      <c r="Q4" s="4"/>
    </row>
    <row r="5" spans="1:17" ht="15.75" customHeight="1" x14ac:dyDescent="0.25">
      <c r="A5" t="s">
        <v>4</v>
      </c>
      <c r="B5" s="4" t="s">
        <v>5</v>
      </c>
      <c r="C5" s="4" t="s">
        <v>6</v>
      </c>
      <c r="D5" s="4" t="s">
        <v>7</v>
      </c>
      <c r="E5" s="4"/>
      <c r="F5" t="str" cm="1">
        <f t="array" ref="F5">RegExpExtract(A5, $F$1)</f>
        <v>KJA/KGD</v>
      </c>
      <c r="G5" t="str" cm="1">
        <f t="array" ref="G5">RegExpExtract(A5, $G$1)</f>
        <v>27.04.2020+03.05.2020</v>
      </c>
      <c r="H5" t="str" cm="1">
        <f t="array" ref="H5">SUBSTITUTE(RegExpExtract(A5, $H$1),"/","")</f>
        <v>UT-572.UT-329+UT-390.UT-571</v>
      </c>
      <c r="I5" s="4"/>
      <c r="J5" s="4"/>
      <c r="K5" s="4"/>
      <c r="L5" s="4"/>
      <c r="M5" s="4"/>
      <c r="N5" s="4"/>
      <c r="O5" s="4"/>
      <c r="P5" s="4"/>
      <c r="Q5" s="4"/>
    </row>
    <row r="6" spans="1:17" ht="15.75" customHeight="1" x14ac:dyDescent="0.25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</row>
    <row r="7" spans="1:17" ht="15.75" customHeight="1" x14ac:dyDescent="0.25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</row>
    <row r="8" spans="1:17" ht="15.75" customHeight="1" x14ac:dyDescent="0.25"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</row>
    <row r="9" spans="1:17" ht="15.75" customHeight="1" x14ac:dyDescent="0.25">
      <c r="B9" s="2"/>
      <c r="C9" s="3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4"/>
      <c r="P9" s="4"/>
      <c r="Q9" s="4"/>
    </row>
    <row r="10" spans="1:17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</row>
  </sheetData>
  <hyperlinks>
    <hyperlink ref="A2" r:id="rId1" xr:uid="{00000000-0004-0000-0000-000000000000}"/>
    <hyperlink ref="A3" r:id="rId2" xr:uid="{00000000-0004-0000-0000-000001000000}"/>
    <hyperlink ref="A4" r:id="rId3" xr:uid="{00000000-0004-0000-0000-000002000000}"/>
    <hyperlink ref="A5" r:id="rId4" xr:uid="{00000000-0004-0000-0000-000003000000}"/>
  </hyperlinks>
  <pageMargins left="0.7" right="0.7" top="0.75" bottom="0.75" header="0.3" footer="0.3"/>
  <pageSetup paperSize="9" orientation="portrait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RePack by SPecialiST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annairol</dc:creator>
  <cp:lastModifiedBy>Alex Helber</cp:lastModifiedBy>
  <dcterms:created xsi:type="dcterms:W3CDTF">2020-02-25T11:09:17Z</dcterms:created>
  <dcterms:modified xsi:type="dcterms:W3CDTF">2022-08-07T18:53:30Z</dcterms:modified>
</cp:coreProperties>
</file>